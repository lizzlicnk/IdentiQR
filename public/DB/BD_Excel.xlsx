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Proyecto_Pagina\app\Models\DB\"/>
    </mc:Choice>
  </mc:AlternateContent>
  <xr:revisionPtr revIDLastSave="0" documentId="13_ncr:1_{9298A2F7-E7B9-482D-B479-16F1ECCF7F01}" xr6:coauthVersionLast="47" xr6:coauthVersionMax="47" xr10:uidLastSave="{00000000-0000-0000-0000-000000000000}"/>
  <bookViews>
    <workbookView xWindow="-108" yWindow="-108" windowWidth="23256" windowHeight="12456" xr2:uid="{5F74EB4B-E356-42D7-A6F6-8589A7F778C5}"/>
  </bookViews>
  <sheets>
    <sheet name="BDInfoQ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2" l="1"/>
  <c r="P5" i="2" s="1"/>
  <c r="O6" i="2"/>
  <c r="P6" i="2" s="1"/>
  <c r="O7" i="2"/>
  <c r="P7" i="2" s="1"/>
  <c r="O4" i="2"/>
  <c r="P4" i="2" s="1"/>
  <c r="O33" i="2"/>
  <c r="O34" i="2"/>
  <c r="O35" i="2"/>
  <c r="O36" i="2"/>
  <c r="O32" i="2"/>
  <c r="G7" i="2"/>
  <c r="G4" i="2"/>
  <c r="J28" i="2"/>
  <c r="G6" i="2"/>
  <c r="C12" i="2"/>
  <c r="C11" i="2"/>
  <c r="J26" i="2"/>
  <c r="J27" i="2"/>
  <c r="G5" i="2"/>
  <c r="J20" i="2"/>
  <c r="F20" i="2"/>
  <c r="E20" i="2"/>
  <c r="J18" i="2"/>
  <c r="J19" i="2"/>
  <c r="F19" i="2"/>
  <c r="E19" i="2"/>
  <c r="E18" i="2"/>
  <c r="E17" i="2"/>
  <c r="J17" i="2"/>
  <c r="J25" i="2"/>
  <c r="N7" i="2" a="1"/>
  <c r="N5" i="2" a="1"/>
  <c r="N6" i="2" a="1"/>
  <c r="N4" i="2" a="1"/>
  <c r="N7" i="2" l="1"/>
  <c r="N6" i="2"/>
  <c r="N5" i="2"/>
  <c r="N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<sst xmlns="http://schemas.openxmlformats.org/spreadsheetml/2006/main" count="220" uniqueCount="172">
  <si>
    <t>Dirección de carrera</t>
  </si>
  <si>
    <t>Alumno</t>
  </si>
  <si>
    <t>idCarrera</t>
  </si>
  <si>
    <t>Matricula</t>
  </si>
  <si>
    <t>Descripción</t>
  </si>
  <si>
    <t>Nombre</t>
  </si>
  <si>
    <t>ApePat</t>
  </si>
  <si>
    <t>ApeMat</t>
  </si>
  <si>
    <t>Dirección</t>
  </si>
  <si>
    <t>Télefono</t>
  </si>
  <si>
    <t>Ciudad</t>
  </si>
  <si>
    <t>Estado</t>
  </si>
  <si>
    <t>Género</t>
  </si>
  <si>
    <t>FechaNa</t>
  </si>
  <si>
    <t>Correo</t>
  </si>
  <si>
    <t>InfoQR</t>
  </si>
  <si>
    <t>Alexis Sebastian</t>
  </si>
  <si>
    <t>Sanchez</t>
  </si>
  <si>
    <t>Luna</t>
  </si>
  <si>
    <t>Calle Sta. Maria</t>
  </si>
  <si>
    <t>Jiutepec</t>
  </si>
  <si>
    <t>Morelos</t>
  </si>
  <si>
    <t>Masculino</t>
  </si>
  <si>
    <t>SLAO230036</t>
  </si>
  <si>
    <t>Plan_Est</t>
  </si>
  <si>
    <t>ITI</t>
  </si>
  <si>
    <t>IID</t>
  </si>
  <si>
    <t>IET</t>
  </si>
  <si>
    <t>ISE</t>
  </si>
  <si>
    <t>ITI-H18</t>
  </si>
  <si>
    <t>IET-H18</t>
  </si>
  <si>
    <t>TSU-DS-NM24</t>
  </si>
  <si>
    <t>TSU-RC-NM24</t>
  </si>
  <si>
    <t>idTramite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</si>
  <si>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</si>
  <si>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</si>
  <si>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</si>
  <si>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</si>
  <si>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</si>
  <si>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</si>
  <si>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</si>
  <si>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</si>
  <si>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</si>
  <si>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</si>
  <si>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</si>
  <si>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</si>
  <si>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</si>
  <si>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</si>
  <si>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</si>
  <si>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FeIngreso</t>
  </si>
  <si>
    <t>Usuario</t>
  </si>
  <si>
    <t>id_Usuario</t>
  </si>
  <si>
    <t>ApP</t>
  </si>
  <si>
    <t>ApM</t>
  </si>
  <si>
    <t>Email</t>
  </si>
  <si>
    <t>Rol</t>
  </si>
  <si>
    <t>idDepto</t>
  </si>
  <si>
    <t>Departamento</t>
  </si>
  <si>
    <t>Descripcion</t>
  </si>
  <si>
    <t>InformacionMedica</t>
  </si>
  <si>
    <t>idInfoM</t>
  </si>
  <si>
    <t>TipoSangre</t>
  </si>
  <si>
    <t>Alergias</t>
  </si>
  <si>
    <t>ServicioTramite</t>
  </si>
  <si>
    <t>Extracurricular</t>
  </si>
  <si>
    <t>Tutorias</t>
  </si>
  <si>
    <t>Reinscripcion</t>
  </si>
  <si>
    <t>Inscripcion</t>
  </si>
  <si>
    <t>Estancia I</t>
  </si>
  <si>
    <t>Estancia II</t>
  </si>
  <si>
    <t>Estadia</t>
  </si>
  <si>
    <t>Servicio Social</t>
  </si>
  <si>
    <t>Justificante</t>
  </si>
  <si>
    <t>Recursamiento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</si>
  <si>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</si>
  <si>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</si>
  <si>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</si>
  <si>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</si>
  <si>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</si>
  <si>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</si>
  <si>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</si>
  <si>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</si>
  <si>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</si>
  <si>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</si>
  <si>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Carrera</t>
  </si>
  <si>
    <t>Direccion Academica</t>
  </si>
  <si>
    <t>Servicios Escolares</t>
  </si>
  <si>
    <t>Dirección Desarrollo Academico</t>
  </si>
  <si>
    <t>Dirección Asuntos Estudiantiles</t>
  </si>
  <si>
    <t>Consultorio de atención de primer contacto</t>
  </si>
  <si>
    <t>Vinculación</t>
  </si>
  <si>
    <t>Consulta medica</t>
  </si>
  <si>
    <t>RegistrosServicio</t>
  </si>
  <si>
    <t>FolioRegistro</t>
  </si>
  <si>
    <t>FechaHora</t>
  </si>
  <si>
    <t>FechaRegistro</t>
  </si>
  <si>
    <t>O+</t>
  </si>
  <si>
    <t>Ninguna</t>
  </si>
  <si>
    <t>Practicas Profesionales</t>
  </si>
  <si>
    <t>Reposicion Credencial</t>
  </si>
  <si>
    <t>admin1234*</t>
  </si>
  <si>
    <t>Administrador</t>
  </si>
  <si>
    <t>Administración de trámites académicos y servicios para los estudiantes</t>
  </si>
  <si>
    <t>Gestión y mejora de los procesos académicos y pedagógicos (Tutoria)</t>
  </si>
  <si>
    <t>Coordinación de actividades y servicios para el bienestar estudiantil</t>
  </si>
  <si>
    <t>Consultoría y atención médica inicial para estudiantes</t>
  </si>
  <si>
    <t>Conexión con empresas, organizaciones y otras instituciones educativas</t>
  </si>
  <si>
    <t>Sin Dirección</t>
  </si>
  <si>
    <t>Sin Dirección Adjunta - Admin</t>
  </si>
  <si>
    <t>ContactoEmergencia</t>
  </si>
  <si>
    <t>777-156-8683</t>
  </si>
  <si>
    <t>Identi</t>
  </si>
  <si>
    <t>Q</t>
  </si>
  <si>
    <t>R</t>
  </si>
  <si>
    <t>identiqr.info@gmail.com</t>
  </si>
  <si>
    <t>Password (Cifrada)</t>
  </si>
  <si>
    <t>qrHash</t>
  </si>
  <si>
    <t>Loreto</t>
  </si>
  <si>
    <t>Peralta</t>
  </si>
  <si>
    <t>Perez</t>
  </si>
  <si>
    <t>lorep_serv@upemor.edu.mx</t>
  </si>
  <si>
    <t>usr</t>
  </si>
  <si>
    <t>Loreto1234*</t>
  </si>
  <si>
    <t>Tulio</t>
  </si>
  <si>
    <t>Triviño</t>
  </si>
  <si>
    <t>Tellez</t>
  </si>
  <si>
    <t>Tulio1234**</t>
  </si>
  <si>
    <t>Admin_Vinculacion</t>
  </si>
  <si>
    <t>Admin_DirAca</t>
  </si>
  <si>
    <t>Bodoque</t>
  </si>
  <si>
    <t>Juan</t>
  </si>
  <si>
    <t>Carlos</t>
  </si>
  <si>
    <t>Bodoque54</t>
  </si>
  <si>
    <t>Admin_ServEsco</t>
  </si>
  <si>
    <t>BBLO230123</t>
  </si>
  <si>
    <t>MDCO230011</t>
  </si>
  <si>
    <t>Lizbeth</t>
  </si>
  <si>
    <t>Barreto</t>
  </si>
  <si>
    <t>Basave</t>
  </si>
  <si>
    <t>Calle. Vicente Guerrero</t>
  </si>
  <si>
    <t>777-480-5924</t>
  </si>
  <si>
    <t>777-123-4567</t>
  </si>
  <si>
    <t>Femenino</t>
  </si>
  <si>
    <t>Cynthia J.</t>
  </si>
  <si>
    <t>Martinez</t>
  </si>
  <si>
    <t>Delgaso</t>
  </si>
  <si>
    <t>735-123-4568</t>
  </si>
  <si>
    <t>Calle. Amp. Texcal</t>
  </si>
  <si>
    <t>Yautepec</t>
  </si>
  <si>
    <t>OH+</t>
  </si>
  <si>
    <t>O-</t>
  </si>
  <si>
    <t>Polen,Plantas,Paracetamol</t>
  </si>
  <si>
    <t>735-665-1593</t>
  </si>
  <si>
    <t>747-985-1234</t>
  </si>
  <si>
    <t>JSAO240101</t>
  </si>
  <si>
    <t>Pecarez</t>
  </si>
  <si>
    <t>Calle. Morelos</t>
  </si>
  <si>
    <t>777-999-8888</t>
  </si>
  <si>
    <t>Cuernavaca</t>
  </si>
  <si>
    <t>HistorialIdentiQR</t>
  </si>
  <si>
    <t>FolioQR</t>
  </si>
  <si>
    <t>fechaHora</t>
  </si>
  <si>
    <t>accionRealizada</t>
  </si>
  <si>
    <t>descripcion</t>
  </si>
  <si>
    <t>usuarioR</t>
  </si>
  <si>
    <t>Registro</t>
  </si>
  <si>
    <t>Modificación</t>
  </si>
  <si>
    <t>El alumno so…</t>
  </si>
  <si>
    <t>ADMIN</t>
  </si>
  <si>
    <t>El alumno mod…</t>
  </si>
  <si>
    <t>fechaGenerarQR_1</t>
  </si>
  <si>
    <t>fechaExpiracionQR_2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</si>
</sst>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yyyy\-mm\-dd\ hh:mm:ss"/>
    <numFmt numFmtId="166" formatCode="yyyy\-mm\-dd\ hh:mm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333333"/>
      <name val="Times New Roman"/>
      <family val="1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quotePrefix="1" applyBorder="1"/>
    <xf numFmtId="16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2" fillId="0" borderId="1" xfId="1" applyBorder="1" applyAlignment="1"/>
    <xf numFmtId="166" fontId="0" fillId="0" borderId="1" xfId="0" applyNumberFormat="1" applyBorder="1"/>
    <xf numFmtId="0" fontId="2" fillId="0" borderId="1" xfId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22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777240</xdr:colOff>
      <xdr:row>0</xdr:row>
      <xdr:rowOff>163286</xdr:rowOff>
    </xdr:from>
    <xdr:to>
      <xdr:col>16</xdr:col>
      <xdr:colOff>849086</xdr:colOff>
      <xdr:row>22</xdr:row>
      <xdr:rowOff>121920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BAEDA80-7753-A941-EEE8-6D6CDC597AA7}"/>
            </a:ext>
          </a:extLst>
        </xdr:cNvPr>
        <xdr:cNvCxnSpPr/>
      </xdr:nvCxnSpPr>
      <xdr:spPr>
        <a:xfrm flipV="1">
          <a:off x="3411583" y="163286"/>
          <a:ext cx="16019417" cy="402989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716280</xdr:colOff>
      <xdr:row>8</xdr:row>
      <xdr:rowOff>83820</xdr:rowOff>
    </xdr:from>
    <xdr:to>
      <xdr:col>13</xdr:col>
      <xdr:colOff>68580</xdr:colOff>
      <xdr:row>22</xdr:row>
      <xdr:rowOff>91440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8A2A15EF-22A3-0111-9890-6D80AA7268F4}"/>
            </a:ext>
          </a:extLst>
        </xdr:cNvPr>
        <xdr:cNvCxnSpPr/>
      </xdr:nvCxnSpPr>
      <xdr:spPr>
        <a:xfrm flipV="1">
          <a:off x="3337560" y="1546860"/>
          <a:ext cx="11247120" cy="25679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0</xdr:row>
      <xdr:rowOff>174171</xdr:rowOff>
    </xdr:from>
    <xdr:to>
      <xdr:col>16</xdr:col>
      <xdr:colOff>740229</xdr:colOff>
      <xdr:row>1</xdr:row>
      <xdr:rowOff>60960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51D7695B-0FE7-9147-9531-81ABA3E4A972}"/>
            </a:ext>
          </a:extLst>
        </xdr:cNvPr>
        <xdr:cNvCxnSpPr/>
      </xdr:nvCxnSpPr>
      <xdr:spPr>
        <a:xfrm flipH="1">
          <a:off x="12524014" y="174171"/>
          <a:ext cx="6798129" cy="718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716280</xdr:colOff>
      <xdr:row>1</xdr:row>
      <xdr:rowOff>160020</xdr:rowOff>
    </xdr:from>
    <xdr:to>
      <xdr:col>4</xdr:col>
      <xdr:colOff>716280</xdr:colOff>
      <xdr:row>7</xdr:row>
      <xdr:rowOff>167640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C52DA733-EC0D-4474-22CE-25B616D25D88}"/>
            </a:ext>
          </a:extLst>
        </xdr:cNvPr>
        <xdr:cNvCxnSpPr/>
      </xdr:nvCxnSpPr>
      <xdr:spPr>
        <a:xfrm flipH="1">
          <a:off x="2461260" y="342900"/>
          <a:ext cx="1668780" cy="1104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281940</xdr:colOff>
      <xdr:row>1</xdr:row>
      <xdr:rowOff>76200</xdr:rowOff>
    </xdr:from>
    <xdr:to>
      <xdr:col>9</xdr:col>
      <xdr:colOff>198120</xdr:colOff>
      <xdr:row>23</xdr:row>
      <xdr:rowOff>38100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9E81D36A-8453-2736-63E8-A06F9C83B549}"/>
            </a:ext>
          </a:extLst>
        </xdr:cNvPr>
        <xdr:cNvCxnSpPr/>
      </xdr:nvCxnSpPr>
      <xdr:spPr>
        <a:xfrm flipH="1">
          <a:off x="8747760" y="259080"/>
          <a:ext cx="2354580" cy="398526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870858</xdr:colOff>
      <xdr:row>9</xdr:row>
      <xdr:rowOff>141515</xdr:rowOff>
    </xdr:from>
    <xdr:to>
      <xdr:col>13</xdr:col>
      <xdr:colOff>228600</xdr:colOff>
      <xdr:row>23</xdr:row>
      <xdr:rowOff>152400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F977691C-6C65-1FA1-295D-19F5EC975BAC}"/>
            </a:ext>
          </a:extLst>
        </xdr:cNvPr>
        <xdr:cNvCxnSpPr/>
      </xdr:nvCxnSpPr>
      <xdr:spPr>
        <a:xfrm flipV="1">
          <a:off x="10722429" y="1807029"/>
          <a:ext cx="4223657" cy="260168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lorep_serv@upemor.edu.mx" TargetMode="External"/><Relationship Id="rId1" Type="http://schemas.openxmlformats.org/officeDocument/2006/relationships/hyperlink" Target="mailto:identiqr.inf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2EE4-6B8D-4CCE-B542-3693D4CF1EAD}">
  <sheetPr codeName="Hoja1"/>
  <dimension ref="A1:U36"/>
  <sheetViews>
    <sheetView tabSelected="1" topLeftCell="D1" zoomScale="70" zoomScaleNormal="70" workbookViewId="0">
      <selection activeCell="P3" sqref="P3"/>
    </sheetView>
  </sheetViews>
  <sheetFormatPr baseColWidth="10" defaultRowHeight="14.4" x14ac:dyDescent="0.3"/>
  <cols>
    <col min="2" max="2" width="13.88671875" bestFit="1" customWidth="1"/>
    <col min="3" max="3" width="12.77734375" bestFit="1" customWidth="1"/>
    <col min="5" max="5" width="26.88671875" bestFit="1" customWidth="1"/>
    <col min="6" max="6" width="27.109375" customWidth="1"/>
    <col min="7" max="7" width="19.6640625" bestFit="1" customWidth="1"/>
    <col min="8" max="8" width="20" bestFit="1" customWidth="1"/>
    <col min="9" max="9" width="15.5546875" bestFit="1" customWidth="1"/>
    <col min="10" max="10" width="20.5546875" bestFit="1" customWidth="1"/>
    <col min="14" max="14" width="21.77734375" bestFit="1" customWidth="1"/>
    <col min="15" max="15" width="17.44140625" bestFit="1" customWidth="1"/>
    <col min="16" max="16" width="17.109375" customWidth="1"/>
    <col min="17" max="17" width="12.77734375" bestFit="1" customWidth="1"/>
  </cols>
  <sheetData>
    <row r="1" spans="1:21" x14ac:dyDescent="0.3">
      <c r="D1" s="29" t="s">
        <v>15</v>
      </c>
      <c r="E1" s="29"/>
      <c r="F1" s="29"/>
      <c r="G1" s="29"/>
      <c r="H1" s="29"/>
      <c r="I1" s="29"/>
      <c r="J1" s="29"/>
      <c r="R1" s="20" t="s">
        <v>84</v>
      </c>
      <c r="S1" s="21"/>
      <c r="T1" s="21"/>
      <c r="U1" s="21"/>
    </row>
    <row r="2" spans="1:2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R2" s="13" t="s">
        <v>2</v>
      </c>
      <c r="S2" s="2" t="s">
        <v>4</v>
      </c>
      <c r="T2" s="2" t="s">
        <v>24</v>
      </c>
      <c r="U2" s="2" t="s">
        <v>56</v>
      </c>
    </row>
    <row r="3" spans="1:21" x14ac:dyDescent="0.3">
      <c r="A3" s="13" t="s">
        <v>3</v>
      </c>
      <c r="B3" s="2" t="s">
        <v>5</v>
      </c>
      <c r="C3" s="2" t="s">
        <v>6</v>
      </c>
      <c r="D3" s="2" t="s">
        <v>7</v>
      </c>
      <c r="E3" s="2" t="s">
        <v>13</v>
      </c>
      <c r="F3" s="2" t="s">
        <v>49</v>
      </c>
      <c r="G3" s="2" t="s">
        <v>14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19" t="s">
        <v>2</v>
      </c>
      <c r="N3" s="2" t="s">
        <v>116</v>
      </c>
      <c r="O3" s="1" t="s">
        <v>170</v>
      </c>
      <c r="P3" s="1" t="s">
        <v>171</v>
      </c>
      <c r="R3" s="2">
        <v>1</v>
      </c>
      <c r="S3" s="2" t="s">
        <v>25</v>
      </c>
      <c r="T3" s="2" t="s">
        <v>29</v>
      </c>
      <c r="U3" s="2">
        <v>1</v>
      </c>
    </row>
    <row r="4" spans="1:21" x14ac:dyDescent="0.3">
      <c r="A4" s="1" t="s">
        <v>23</v>
      </c>
      <c r="B4" s="1" t="s">
        <v>16</v>
      </c>
      <c r="C4" s="1" t="s">
        <v>17</v>
      </c>
      <c r="D4" s="1" t="s">
        <v>18</v>
      </c>
      <c r="E4" s="3">
        <v>38659</v>
      </c>
      <c r="F4" s="3">
        <v>44935</v>
      </c>
      <c r="G4" s="1" t="str">
        <f>_xlfn.CONCAT(A4,"@upemor")</f>
        <v>SLAO230036@upemor</v>
      </c>
      <c r="H4" s="1" t="s">
        <v>19</v>
      </c>
      <c r="I4" s="1" t="s">
        <v>140</v>
      </c>
      <c r="J4" s="1" t="s">
        <v>20</v>
      </c>
      <c r="K4" s="1" t="s">
        <v>21</v>
      </c>
      <c r="L4" s="1" t="s">
        <v>22</v>
      </c>
      <c r="M4" s="1">
        <v>1</v>
      </c>
      <c r="N4" s="16" t="str" cm="1">
        <f t="array" ref="N4">SimpleHash(A4)</f>
        <v>534C414F323330303336</v>
      </c>
      <c r="O4" s="3">
        <f ca="1">DATE(YEAR(NOW()),MONTH(NOW()),DAY(NOW()))</f>
        <v>45945</v>
      </c>
      <c r="P4" s="3">
        <f ca="1">(O4 + 15)</f>
        <v>45960</v>
      </c>
      <c r="R4" s="2">
        <v>2</v>
      </c>
      <c r="S4" s="2" t="s">
        <v>26</v>
      </c>
      <c r="T4" s="2" t="s">
        <v>31</v>
      </c>
      <c r="U4" s="2">
        <v>1</v>
      </c>
    </row>
    <row r="5" spans="1:21" x14ac:dyDescent="0.3">
      <c r="A5" s="1" t="s">
        <v>134</v>
      </c>
      <c r="B5" s="1" t="s">
        <v>136</v>
      </c>
      <c r="C5" s="1" t="s">
        <v>137</v>
      </c>
      <c r="D5" s="1" t="s">
        <v>138</v>
      </c>
      <c r="E5" s="3">
        <v>38653</v>
      </c>
      <c r="F5" s="3">
        <v>44935</v>
      </c>
      <c r="G5" s="1" t="str">
        <f>_xlfn.CONCAT(A5,"@upemor")</f>
        <v>BBLO230123@upemor</v>
      </c>
      <c r="H5" s="1" t="s">
        <v>139</v>
      </c>
      <c r="I5" s="1" t="s">
        <v>141</v>
      </c>
      <c r="J5" s="1" t="s">
        <v>20</v>
      </c>
      <c r="K5" s="1" t="s">
        <v>21</v>
      </c>
      <c r="L5" s="1" t="s">
        <v>142</v>
      </c>
      <c r="M5" s="1">
        <v>1</v>
      </c>
      <c r="N5" s="16" t="str" cm="1">
        <f t="array" ref="N5">SimpleHash(A5)</f>
        <v>42424C4F323330313233</v>
      </c>
      <c r="O5" s="3">
        <f ca="1">DATE(YEAR(NOW()),1,3)</f>
        <v>45660</v>
      </c>
      <c r="P5" s="3">
        <f t="shared" ref="P5:P7" ca="1" si="0">(O5 + 15)</f>
        <v>45675</v>
      </c>
      <c r="R5" s="2">
        <v>3</v>
      </c>
      <c r="S5" s="2" t="s">
        <v>27</v>
      </c>
      <c r="T5" s="2" t="s">
        <v>30</v>
      </c>
      <c r="U5" s="2">
        <v>1</v>
      </c>
    </row>
    <row r="6" spans="1:21" x14ac:dyDescent="0.3">
      <c r="A6" s="1" t="s">
        <v>135</v>
      </c>
      <c r="B6" s="1" t="s">
        <v>143</v>
      </c>
      <c r="C6" s="1" t="s">
        <v>144</v>
      </c>
      <c r="D6" s="1" t="s">
        <v>145</v>
      </c>
      <c r="E6" s="3">
        <v>38505</v>
      </c>
      <c r="F6" s="3">
        <v>44935</v>
      </c>
      <c r="G6" s="1" t="str">
        <f>_xlfn.CONCAT(A6,"@upemor")</f>
        <v>MDCO230011@upemor</v>
      </c>
      <c r="H6" s="1" t="s">
        <v>147</v>
      </c>
      <c r="I6" s="1" t="s">
        <v>146</v>
      </c>
      <c r="J6" s="1" t="s">
        <v>148</v>
      </c>
      <c r="K6" s="1" t="s">
        <v>21</v>
      </c>
      <c r="L6" s="1" t="s">
        <v>142</v>
      </c>
      <c r="M6" s="1">
        <v>1</v>
      </c>
      <c r="N6" s="16" t="str" cm="1">
        <f t="array" ref="N6">SimpleHash(A6)</f>
        <v>4D44434F323330303131</v>
      </c>
      <c r="O6" s="3">
        <f ca="1">DATE(YEAR(NOW()),MONTH(NOW()),31)</f>
        <v>45961</v>
      </c>
      <c r="P6" s="3">
        <f t="shared" ca="1" si="0"/>
        <v>45976</v>
      </c>
      <c r="R6" s="2">
        <v>4</v>
      </c>
      <c r="S6" s="2" t="s">
        <v>28</v>
      </c>
      <c r="T6" s="2" t="s">
        <v>32</v>
      </c>
      <c r="U6" s="2">
        <v>1</v>
      </c>
    </row>
    <row r="7" spans="1:21" x14ac:dyDescent="0.3">
      <c r="A7" s="1" t="s">
        <v>154</v>
      </c>
      <c r="B7" s="1" t="s">
        <v>123</v>
      </c>
      <c r="C7" s="1" t="s">
        <v>124</v>
      </c>
      <c r="D7" s="1" t="s">
        <v>155</v>
      </c>
      <c r="E7" s="3">
        <v>39428</v>
      </c>
      <c r="F7" s="3">
        <v>44935</v>
      </c>
      <c r="G7" s="1" t="str">
        <f>_xlfn.CONCAT(A7,"@upemor")</f>
        <v>JSAO240101@upemor</v>
      </c>
      <c r="H7" s="1" t="s">
        <v>156</v>
      </c>
      <c r="I7" s="1" t="s">
        <v>157</v>
      </c>
      <c r="J7" s="1" t="s">
        <v>158</v>
      </c>
      <c r="K7" s="1" t="s">
        <v>21</v>
      </c>
      <c r="L7" s="1" t="s">
        <v>22</v>
      </c>
      <c r="M7" s="1">
        <v>2</v>
      </c>
      <c r="N7" s="16" t="str" cm="1">
        <f t="array" ref="N7">SimpleHash(A7)</f>
        <v>4A53414F323430313031</v>
      </c>
      <c r="O7" s="3">
        <f ca="1">DATE(YEAR(NOW()),11,DAY(NOW()))</f>
        <v>45976</v>
      </c>
      <c r="P7" s="3">
        <f t="shared" ca="1" si="0"/>
        <v>45991</v>
      </c>
    </row>
    <row r="8" spans="1:21" x14ac:dyDescent="0.3">
      <c r="B8" s="31" t="s">
        <v>59</v>
      </c>
      <c r="C8" s="31"/>
      <c r="D8" s="31"/>
      <c r="E8" s="31"/>
      <c r="F8" s="31"/>
    </row>
    <row r="9" spans="1:21" x14ac:dyDescent="0.3">
      <c r="B9" s="15" t="s">
        <v>60</v>
      </c>
      <c r="C9" s="17" t="s">
        <v>3</v>
      </c>
      <c r="D9" s="6" t="s">
        <v>61</v>
      </c>
      <c r="E9" s="6" t="s">
        <v>62</v>
      </c>
      <c r="F9" s="6" t="s">
        <v>109</v>
      </c>
      <c r="N9" s="23" t="s">
        <v>63</v>
      </c>
      <c r="O9" s="24"/>
      <c r="P9" s="24"/>
      <c r="Q9" s="25"/>
    </row>
    <row r="10" spans="1:21" x14ac:dyDescent="0.3">
      <c r="B10" s="2">
        <v>1</v>
      </c>
      <c r="C10" s="2" t="s">
        <v>23</v>
      </c>
      <c r="D10" s="2" t="s">
        <v>96</v>
      </c>
      <c r="E10" s="2" t="s">
        <v>97</v>
      </c>
      <c r="F10" s="2" t="s">
        <v>110</v>
      </c>
      <c r="N10" s="11" t="s">
        <v>33</v>
      </c>
      <c r="O10" s="26" t="s">
        <v>4</v>
      </c>
      <c r="P10" s="27"/>
      <c r="Q10" s="2" t="s">
        <v>56</v>
      </c>
    </row>
    <row r="11" spans="1:21" x14ac:dyDescent="0.3">
      <c r="B11" s="2">
        <v>2</v>
      </c>
      <c r="C11" s="2" t="str">
        <f>A5</f>
        <v>BBLO230123</v>
      </c>
      <c r="D11" s="2" t="s">
        <v>150</v>
      </c>
      <c r="E11" s="2" t="s">
        <v>151</v>
      </c>
      <c r="F11" s="2" t="s">
        <v>152</v>
      </c>
      <c r="N11" s="7" t="s">
        <v>34</v>
      </c>
      <c r="O11" s="26" t="s">
        <v>64</v>
      </c>
      <c r="P11" s="27"/>
      <c r="Q11" s="2">
        <v>5</v>
      </c>
      <c r="R11" s="2"/>
    </row>
    <row r="12" spans="1:21" x14ac:dyDescent="0.3">
      <c r="B12" s="2">
        <v>3</v>
      </c>
      <c r="C12" s="2" t="str">
        <f>A6</f>
        <v>MDCO230011</v>
      </c>
      <c r="D12" s="2" t="s">
        <v>149</v>
      </c>
      <c r="E12" s="2" t="s">
        <v>97</v>
      </c>
      <c r="F12" s="2" t="s">
        <v>153</v>
      </c>
      <c r="N12" s="7" t="s">
        <v>35</v>
      </c>
      <c r="O12" s="26" t="s">
        <v>65</v>
      </c>
      <c r="P12" s="27"/>
      <c r="Q12" s="2">
        <v>4</v>
      </c>
      <c r="R12" s="2"/>
    </row>
    <row r="13" spans="1:21" x14ac:dyDescent="0.3">
      <c r="B13" s="2">
        <v>4</v>
      </c>
      <c r="C13" s="2"/>
      <c r="D13" s="2"/>
      <c r="E13" s="2"/>
      <c r="F13" s="2"/>
      <c r="N13" s="7" t="s">
        <v>36</v>
      </c>
      <c r="O13" s="26" t="s">
        <v>66</v>
      </c>
      <c r="P13" s="27"/>
      <c r="Q13" s="2">
        <v>3</v>
      </c>
      <c r="R13" s="2"/>
    </row>
    <row r="14" spans="1:21" x14ac:dyDescent="0.3">
      <c r="N14" s="7" t="s">
        <v>37</v>
      </c>
      <c r="O14" s="26" t="s">
        <v>67</v>
      </c>
      <c r="P14" s="27"/>
      <c r="Q14" s="2">
        <v>3</v>
      </c>
      <c r="R14" s="2"/>
    </row>
    <row r="15" spans="1:21" x14ac:dyDescent="0.3">
      <c r="A15" s="20" t="s">
        <v>50</v>
      </c>
      <c r="B15" s="21"/>
      <c r="C15" s="21"/>
      <c r="D15" s="21"/>
      <c r="E15" s="21"/>
      <c r="F15" s="21"/>
      <c r="G15" s="21"/>
      <c r="H15" s="21"/>
      <c r="I15" s="21"/>
      <c r="J15" s="21"/>
      <c r="N15" s="7" t="s">
        <v>38</v>
      </c>
      <c r="O15" s="26" t="s">
        <v>68</v>
      </c>
      <c r="P15" s="27"/>
      <c r="Q15" s="2">
        <v>7</v>
      </c>
      <c r="R15" s="2"/>
    </row>
    <row r="16" spans="1:21" x14ac:dyDescent="0.3">
      <c r="A16" s="12" t="s">
        <v>51</v>
      </c>
      <c r="B16" s="1" t="s">
        <v>5</v>
      </c>
      <c r="C16" s="1" t="s">
        <v>52</v>
      </c>
      <c r="D16" s="1" t="s">
        <v>53</v>
      </c>
      <c r="E16" s="1" t="s">
        <v>121</v>
      </c>
      <c r="F16" s="1" t="s">
        <v>54</v>
      </c>
      <c r="G16" s="1" t="s">
        <v>115</v>
      </c>
      <c r="H16" s="1" t="s">
        <v>55</v>
      </c>
      <c r="I16" s="18" t="s">
        <v>56</v>
      </c>
      <c r="J16" s="1" t="s">
        <v>95</v>
      </c>
      <c r="N16" s="7" t="s">
        <v>39</v>
      </c>
      <c r="O16" s="26" t="s">
        <v>69</v>
      </c>
      <c r="P16" s="27"/>
      <c r="Q16" s="2">
        <v>7</v>
      </c>
      <c r="R16" s="2"/>
    </row>
    <row r="17" spans="1:18" x14ac:dyDescent="0.3">
      <c r="A17" s="1">
        <v>1</v>
      </c>
      <c r="B17" s="1" t="s">
        <v>111</v>
      </c>
      <c r="C17" s="1" t="s">
        <v>112</v>
      </c>
      <c r="D17" s="1" t="s">
        <v>113</v>
      </c>
      <c r="E17" s="1" t="str">
        <f ca="1">_xlfn.CONCAT(LEFT(B17,1),LEFT(C17,1),LEFT(D17,1),"O",YEAR(NOW()),"-",CHAR(65+RAND()*26),CHAR(65+RAND()*26),CHAR(65+RAND()*26))</f>
        <v>IQRO2025-CKM</v>
      </c>
      <c r="F17" s="8" t="s">
        <v>114</v>
      </c>
      <c r="G17" s="1" t="s">
        <v>100</v>
      </c>
      <c r="H17" s="1" t="s">
        <v>101</v>
      </c>
      <c r="I17" s="4" t="s">
        <v>74</v>
      </c>
      <c r="J17" s="9">
        <f ca="1">NOW()</f>
        <v>45945.895347800928</v>
      </c>
      <c r="N17" s="7" t="s">
        <v>40</v>
      </c>
      <c r="O17" s="26" t="s">
        <v>70</v>
      </c>
      <c r="P17" s="27"/>
      <c r="Q17" s="2">
        <v>7</v>
      </c>
      <c r="R17" s="2"/>
    </row>
    <row r="18" spans="1:18" x14ac:dyDescent="0.3">
      <c r="A18" s="1">
        <v>2</v>
      </c>
      <c r="B18" s="1" t="s">
        <v>117</v>
      </c>
      <c r="C18" s="1" t="s">
        <v>118</v>
      </c>
      <c r="D18" s="1" t="s">
        <v>119</v>
      </c>
      <c r="E18" s="1" t="str">
        <f ca="1">_xlfn.CONCAT(LEFT(B18,1),LEFT(C18,1),LEFT(D18,1),"O",YEAR(NOW()),"-",CHAR(65+RAND()*26),CHAR(65+RAND()*26),CHAR(65+RAND()*26))</f>
        <v>LPPO2025-ZOA</v>
      </c>
      <c r="F18" s="10" t="s">
        <v>120</v>
      </c>
      <c r="G18" s="1" t="s">
        <v>122</v>
      </c>
      <c r="H18" s="1" t="s">
        <v>127</v>
      </c>
      <c r="I18" s="4" t="s">
        <v>80</v>
      </c>
      <c r="J18" s="9">
        <f t="shared" ref="J18:J20" ca="1" si="1">NOW()</f>
        <v>45945.895347800928</v>
      </c>
      <c r="N18" s="7" t="s">
        <v>41</v>
      </c>
      <c r="O18" s="26" t="s">
        <v>71</v>
      </c>
      <c r="P18" s="27"/>
      <c r="Q18" s="2">
        <v>7</v>
      </c>
      <c r="R18" s="2"/>
    </row>
    <row r="19" spans="1:18" x14ac:dyDescent="0.3">
      <c r="A19" s="1">
        <v>3</v>
      </c>
      <c r="B19" s="1" t="s">
        <v>123</v>
      </c>
      <c r="C19" s="1" t="s">
        <v>124</v>
      </c>
      <c r="D19" s="1" t="s">
        <v>125</v>
      </c>
      <c r="E19" s="1" t="str">
        <f ca="1">_xlfn.CONCAT(LEFT(B19,1),LEFT(C19,1),LEFT(D19,1),"O",YEAR(NOW()),"-",CHAR(65+RAND()*26),CHAR(65+RAND()*26),CHAR(65+RAND()*26))</f>
        <v>TTTO2025-WEB</v>
      </c>
      <c r="F19" s="1" t="str">
        <f>_xlfn.CONCAT(B19,LEFT(C19,2),"@upemor.edu.mx")</f>
        <v>TulioTr@upemor.edu.mx</v>
      </c>
      <c r="G19" s="1" t="s">
        <v>126</v>
      </c>
      <c r="H19" s="1" t="s">
        <v>128</v>
      </c>
      <c r="I19" s="4" t="s">
        <v>75</v>
      </c>
      <c r="J19" s="9">
        <f t="shared" ca="1" si="1"/>
        <v>45945.895347800928</v>
      </c>
      <c r="N19" s="7" t="s">
        <v>42</v>
      </c>
      <c r="O19" s="26" t="s">
        <v>98</v>
      </c>
      <c r="P19" s="27"/>
      <c r="Q19" s="2">
        <v>7</v>
      </c>
      <c r="R19" s="2"/>
    </row>
    <row r="20" spans="1:18" x14ac:dyDescent="0.3">
      <c r="A20" s="1">
        <v>4</v>
      </c>
      <c r="B20" s="1" t="s">
        <v>130</v>
      </c>
      <c r="C20" s="1" t="s">
        <v>131</v>
      </c>
      <c r="D20" s="1" t="s">
        <v>129</v>
      </c>
      <c r="E20" s="1" t="str">
        <f ca="1">_xlfn.CONCAT(LEFT(B20,1),LEFT(C20,1),LEFT(D20,1),"O",YEAR(NOW()),"-",CHAR(65+RAND()*26),CHAR(65+RAND()*26),CHAR(65+RAND()*26))</f>
        <v>JCBO2025-HYY</v>
      </c>
      <c r="F20" s="1" t="str">
        <f>_xlfn.CONCAT(B20,LEFT(C20,2),"@upemor.edu.mx")</f>
        <v>JuanCa@upemor.edu.mx</v>
      </c>
      <c r="G20" s="1" t="s">
        <v>132</v>
      </c>
      <c r="H20" s="1" t="s">
        <v>133</v>
      </c>
      <c r="I20" s="4" t="s">
        <v>76</v>
      </c>
      <c r="J20" s="9">
        <f t="shared" ca="1" si="1"/>
        <v>45945.895347800928</v>
      </c>
      <c r="N20" s="7" t="s">
        <v>43</v>
      </c>
      <c r="O20" s="26" t="s">
        <v>99</v>
      </c>
      <c r="P20" s="27"/>
      <c r="Q20" s="2">
        <v>3</v>
      </c>
      <c r="R20" s="2"/>
    </row>
    <row r="21" spans="1:18" x14ac:dyDescent="0.3">
      <c r="N21" s="7" t="s">
        <v>44</v>
      </c>
      <c r="O21" s="26" t="s">
        <v>72</v>
      </c>
      <c r="P21" s="27"/>
      <c r="Q21" s="2">
        <v>2</v>
      </c>
      <c r="R21" s="2"/>
    </row>
    <row r="22" spans="1:18" x14ac:dyDescent="0.3">
      <c r="N22" s="7" t="s">
        <v>45</v>
      </c>
      <c r="O22" s="26" t="s">
        <v>73</v>
      </c>
      <c r="P22" s="27"/>
      <c r="Q22" s="2">
        <v>2</v>
      </c>
      <c r="R22" s="2"/>
    </row>
    <row r="23" spans="1:18" x14ac:dyDescent="0.3">
      <c r="B23" s="28" t="s">
        <v>57</v>
      </c>
      <c r="C23" s="28"/>
      <c r="D23" s="28"/>
      <c r="G23" s="28" t="s">
        <v>92</v>
      </c>
      <c r="H23" s="28"/>
      <c r="I23" s="28"/>
      <c r="J23" s="28"/>
      <c r="N23" s="7" t="s">
        <v>46</v>
      </c>
      <c r="O23" s="26" t="s">
        <v>91</v>
      </c>
      <c r="P23" s="27"/>
      <c r="Q23" s="2">
        <v>6</v>
      </c>
      <c r="R23" s="2"/>
    </row>
    <row r="24" spans="1:18" x14ac:dyDescent="0.3">
      <c r="B24" s="13" t="s">
        <v>56</v>
      </c>
      <c r="C24" s="2" t="s">
        <v>5</v>
      </c>
      <c r="D24" s="2" t="s">
        <v>58</v>
      </c>
      <c r="G24" s="13" t="s">
        <v>93</v>
      </c>
      <c r="H24" s="17" t="s">
        <v>3</v>
      </c>
      <c r="I24" s="19" t="s">
        <v>33</v>
      </c>
      <c r="J24" s="2" t="s">
        <v>94</v>
      </c>
      <c r="N24" s="7" t="s">
        <v>47</v>
      </c>
      <c r="R24" s="2"/>
    </row>
    <row r="25" spans="1:18" x14ac:dyDescent="0.3">
      <c r="B25" s="4" t="s">
        <v>74</v>
      </c>
      <c r="C25" t="s">
        <v>107</v>
      </c>
      <c r="D25" t="s">
        <v>108</v>
      </c>
      <c r="G25" s="4" t="s">
        <v>34</v>
      </c>
      <c r="H25" s="1" t="s">
        <v>23</v>
      </c>
      <c r="I25" s="4" t="s">
        <v>34</v>
      </c>
      <c r="J25" s="5">
        <f ca="1">NOW()</f>
        <v>45945.895347800928</v>
      </c>
      <c r="N25" s="7" t="s">
        <v>48</v>
      </c>
      <c r="O25" s="26"/>
      <c r="P25" s="27"/>
      <c r="Q25" s="2"/>
      <c r="R25" s="2"/>
    </row>
    <row r="26" spans="1:18" x14ac:dyDescent="0.3">
      <c r="B26" s="4" t="s">
        <v>75</v>
      </c>
      <c r="C26" s="1" t="s">
        <v>85</v>
      </c>
      <c r="D26" s="1" t="s">
        <v>0</v>
      </c>
      <c r="G26" s="4" t="s">
        <v>35</v>
      </c>
      <c r="H26" s="1" t="s">
        <v>134</v>
      </c>
      <c r="I26" s="4" t="s">
        <v>41</v>
      </c>
      <c r="J26" s="5">
        <f t="shared" ref="J26:J28" ca="1" si="2">NOW()</f>
        <v>45945.895347800928</v>
      </c>
    </row>
    <row r="27" spans="1:18" x14ac:dyDescent="0.3">
      <c r="B27" s="4" t="s">
        <v>76</v>
      </c>
      <c r="C27" s="1" t="s">
        <v>86</v>
      </c>
      <c r="D27" s="1" t="s">
        <v>102</v>
      </c>
      <c r="G27" s="4" t="s">
        <v>36</v>
      </c>
      <c r="H27" s="1" t="s">
        <v>135</v>
      </c>
      <c r="I27" s="4" t="s">
        <v>46</v>
      </c>
      <c r="J27" s="5">
        <f t="shared" ca="1" si="2"/>
        <v>45945.895347800928</v>
      </c>
    </row>
    <row r="28" spans="1:18" x14ac:dyDescent="0.3">
      <c r="B28" s="4" t="s">
        <v>77</v>
      </c>
      <c r="C28" s="1" t="s">
        <v>87</v>
      </c>
      <c r="D28" s="1" t="s">
        <v>103</v>
      </c>
      <c r="G28" s="4" t="s">
        <v>37</v>
      </c>
      <c r="H28" s="1" t="s">
        <v>23</v>
      </c>
      <c r="I28" s="4" t="s">
        <v>40</v>
      </c>
      <c r="J28" s="5">
        <f t="shared" ca="1" si="2"/>
        <v>45945.895347800928</v>
      </c>
    </row>
    <row r="29" spans="1:18" x14ac:dyDescent="0.3">
      <c r="B29" s="4" t="s">
        <v>78</v>
      </c>
      <c r="C29" s="1" t="s">
        <v>88</v>
      </c>
      <c r="D29" s="1" t="s">
        <v>104</v>
      </c>
    </row>
    <row r="30" spans="1:18" x14ac:dyDescent="0.3">
      <c r="B30" s="4" t="s">
        <v>79</v>
      </c>
      <c r="C30" s="1" t="s">
        <v>89</v>
      </c>
      <c r="D30" s="1" t="s">
        <v>105</v>
      </c>
      <c r="N30" s="30" t="s">
        <v>159</v>
      </c>
      <c r="O30" s="30"/>
      <c r="P30" s="30"/>
      <c r="Q30" s="30"/>
      <c r="R30" s="30"/>
    </row>
    <row r="31" spans="1:18" x14ac:dyDescent="0.3">
      <c r="B31" s="4" t="s">
        <v>80</v>
      </c>
      <c r="C31" s="1" t="s">
        <v>90</v>
      </c>
      <c r="D31" s="1" t="s">
        <v>106</v>
      </c>
      <c r="G31" s="22"/>
      <c r="H31" s="22"/>
      <c r="I31" s="22"/>
      <c r="J31" s="22"/>
      <c r="N31" s="1" t="s">
        <v>160</v>
      </c>
      <c r="O31" s="1" t="s">
        <v>161</v>
      </c>
      <c r="P31" s="1" t="s">
        <v>162</v>
      </c>
      <c r="Q31" s="1" t="s">
        <v>163</v>
      </c>
      <c r="R31" s="1" t="s">
        <v>164</v>
      </c>
    </row>
    <row r="32" spans="1:18" x14ac:dyDescent="0.3">
      <c r="B32" s="4" t="s">
        <v>81</v>
      </c>
      <c r="C32" s="1"/>
      <c r="D32" s="1"/>
      <c r="N32" s="4" t="s">
        <v>34</v>
      </c>
      <c r="O32" s="14">
        <f ca="1">NOW()</f>
        <v>45945.895347800928</v>
      </c>
      <c r="P32" s="1" t="s">
        <v>165</v>
      </c>
      <c r="Q32" s="1" t="s">
        <v>167</v>
      </c>
      <c r="R32" s="1" t="s">
        <v>168</v>
      </c>
    </row>
    <row r="33" spans="2:18" x14ac:dyDescent="0.3">
      <c r="B33" s="4" t="s">
        <v>82</v>
      </c>
      <c r="C33" s="1"/>
      <c r="D33" s="1"/>
      <c r="N33" s="4" t="s">
        <v>35</v>
      </c>
      <c r="O33" s="14">
        <f t="shared" ref="O33:O36" ca="1" si="3">NOW()</f>
        <v>45945.895347800928</v>
      </c>
      <c r="P33" s="1" t="s">
        <v>165</v>
      </c>
      <c r="Q33" s="1" t="s">
        <v>167</v>
      </c>
      <c r="R33" s="1" t="s">
        <v>168</v>
      </c>
    </row>
    <row r="34" spans="2:18" x14ac:dyDescent="0.3">
      <c r="B34" s="4" t="s">
        <v>83</v>
      </c>
      <c r="C34" s="1"/>
      <c r="D34" s="1"/>
      <c r="N34" s="4" t="s">
        <v>36</v>
      </c>
      <c r="O34" s="14">
        <f t="shared" ca="1" si="3"/>
        <v>45945.895347800928</v>
      </c>
      <c r="P34" s="1" t="s">
        <v>165</v>
      </c>
      <c r="Q34" s="1" t="s">
        <v>167</v>
      </c>
      <c r="R34" s="1" t="s">
        <v>168</v>
      </c>
    </row>
    <row r="35" spans="2:18" x14ac:dyDescent="0.3">
      <c r="N35" s="4" t="s">
        <v>37</v>
      </c>
      <c r="O35" s="14">
        <f t="shared" ca="1" si="3"/>
        <v>45945.895347800928</v>
      </c>
      <c r="P35" s="1" t="s">
        <v>166</v>
      </c>
      <c r="Q35" s="1" t="s">
        <v>169</v>
      </c>
      <c r="R35" s="1" t="s">
        <v>168</v>
      </c>
    </row>
    <row r="36" spans="2:18" x14ac:dyDescent="0.3">
      <c r="N36" s="4" t="s">
        <v>38</v>
      </c>
      <c r="O36" s="14">
        <f t="shared" ca="1" si="3"/>
        <v>45945.895347800928</v>
      </c>
      <c r="P36" s="1"/>
      <c r="Q36" s="1"/>
      <c r="R36" s="1"/>
    </row>
  </sheetData>
  <mergeCells count="25">
    <mergeCell ref="O19:P19"/>
    <mergeCell ref="O20:P20"/>
    <mergeCell ref="B23:D23"/>
    <mergeCell ref="G23:J23"/>
    <mergeCell ref="B8:F8"/>
    <mergeCell ref="A15:J15"/>
    <mergeCell ref="O16:P16"/>
    <mergeCell ref="O17:P17"/>
    <mergeCell ref="O18:P18"/>
    <mergeCell ref="R1:U1"/>
    <mergeCell ref="G31:J31"/>
    <mergeCell ref="N9:Q9"/>
    <mergeCell ref="O10:P10"/>
    <mergeCell ref="O11:P11"/>
    <mergeCell ref="O12:P12"/>
    <mergeCell ref="A2:L2"/>
    <mergeCell ref="D1:J1"/>
    <mergeCell ref="O13:P13"/>
    <mergeCell ref="O25:P25"/>
    <mergeCell ref="O14:P14"/>
    <mergeCell ref="O15:P15"/>
    <mergeCell ref="N30:R30"/>
    <mergeCell ref="O21:P21"/>
    <mergeCell ref="O22:P22"/>
    <mergeCell ref="O23:P23"/>
  </mergeCells>
  <phoneticPr fontId="1" type="noConversion"/>
  <hyperlinks>
    <hyperlink ref="F17" r:id="rId1" xr:uid="{9F68EF8B-6A24-4F6A-9E37-B0B24D457517}"/>
    <hyperlink ref="F18" r:id="rId2" xr:uid="{BBAEA6E8-30A4-4C21-9126-44DE93C36218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BDInfoQR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Luna</dc:creator>
  <cp:lastModifiedBy>Alexis Luna</cp:lastModifiedBy>
  <dcterms:created xsi:type="dcterms:W3CDTF">2025-09-12T02:00:13Z</dcterms:created>
  <dcterms:modified xsi:type="dcterms:W3CDTF">2025-10-16T03:29:22Z</dcterms:modified>
</cp:coreProperties>
</file>